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nc\Desktop\"/>
    </mc:Choice>
  </mc:AlternateContent>
  <xr:revisionPtr revIDLastSave="0" documentId="13_ncr:1_{53153A66-9A0D-4B0E-BBC3-D22ECC165561}" xr6:coauthVersionLast="47" xr6:coauthVersionMax="47" xr10:uidLastSave="{00000000-0000-0000-0000-000000000000}"/>
  <bookViews>
    <workbookView xWindow="-120" yWindow="-120" windowWidth="20730" windowHeight="11160" xr2:uid="{12FE3F1D-B9D8-4C46-8C52-CEBF658FBA20}"/>
  </bookViews>
  <sheets>
    <sheet name="Inventory_sales" sheetId="1" r:id="rId1"/>
    <sheet name="pivot" sheetId="3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7" i="1" l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3" i="1"/>
  <c r="L4" i="1"/>
  <c r="L5" i="1"/>
  <c r="L6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" i="1"/>
</calcChain>
</file>

<file path=xl/sharedStrings.xml><?xml version="1.0" encoding="utf-8"?>
<sst xmlns="http://schemas.openxmlformats.org/spreadsheetml/2006/main" count="77" uniqueCount="41">
  <si>
    <t>S_no</t>
  </si>
  <si>
    <t>product_name</t>
  </si>
  <si>
    <t>category</t>
  </si>
  <si>
    <t>stock_quantity</t>
  </si>
  <si>
    <t>reorder_level</t>
  </si>
  <si>
    <t>sales_quantity</t>
  </si>
  <si>
    <t>purchase_date</t>
  </si>
  <si>
    <t>supplier</t>
  </si>
  <si>
    <t>price</t>
  </si>
  <si>
    <t>9W Bulb</t>
  </si>
  <si>
    <t>20W Tubelight</t>
  </si>
  <si>
    <t>6A Switch</t>
  </si>
  <si>
    <t>10A Socket</t>
  </si>
  <si>
    <t>1" Coupler</t>
  </si>
  <si>
    <t>3/4" Coupler</t>
  </si>
  <si>
    <t>1" Elbow</t>
  </si>
  <si>
    <t>3/4" Elbow</t>
  </si>
  <si>
    <t>20A MCB</t>
  </si>
  <si>
    <t>Fan Regulator</t>
  </si>
  <si>
    <t>Extension Box</t>
  </si>
  <si>
    <t>1" Cpvc Pipe</t>
  </si>
  <si>
    <t>3/4" Cpvc Pipe</t>
  </si>
  <si>
    <t>4"SWR Pipe</t>
  </si>
  <si>
    <t>21/2" SWR Pipe</t>
  </si>
  <si>
    <t>3Pin Plug</t>
  </si>
  <si>
    <t>Water Heater</t>
  </si>
  <si>
    <t>Tap</t>
  </si>
  <si>
    <t>Tape</t>
  </si>
  <si>
    <t>Fan</t>
  </si>
  <si>
    <t>Electrical</t>
  </si>
  <si>
    <t>Plumbing</t>
  </si>
  <si>
    <t>Chamunda Ele</t>
  </si>
  <si>
    <t>Shiva Shakti Ele</t>
  </si>
  <si>
    <t>Mahadeva Traders</t>
  </si>
  <si>
    <t>Mahalaxmi Traders</t>
  </si>
  <si>
    <t>total_revenue</t>
  </si>
  <si>
    <t>inventory_value</t>
  </si>
  <si>
    <t>Row Labels</t>
  </si>
  <si>
    <t>Grand Total</t>
  </si>
  <si>
    <t>Sum of price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</si>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</sst>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c" refreshedDate="46140.860557291664" createdVersion="8" refreshedVersion="8" minRefreshableVersion="3" recordCount="21" xr:uid="{6C03CFA7-4FD6-4FC5-AA48-76F14D36A904}">
  <cacheSource type="worksheet">
    <worksheetSource ref="A1:K1048576" sheet="Inventory_sales"/>
  </cacheSource>
  <cacheFields count="11">
    <cacheField name="S_no" numFmtId="0">
      <sharedItems containsString="0" containsBlank="1" containsNumber="1" containsInteger="1" minValue="1" maxValue="20"/>
    </cacheField>
    <cacheField name="product_name" numFmtId="0">
      <sharedItems containsBlank="1"/>
    </cacheField>
    <cacheField name="category" numFmtId="0">
      <sharedItems containsBlank="1" count="3">
        <s v="Electrical"/>
        <s v="Plumbing"/>
        <m/>
      </sharedItems>
    </cacheField>
    <cacheField name="stock_quantity" numFmtId="0">
      <sharedItems containsString="0" containsBlank="1" containsNumber="1" containsInteger="1" minValue="10" maxValue="100"/>
    </cacheField>
    <cacheField name="reorder_level" numFmtId="0">
      <sharedItems containsString="0" containsBlank="1" containsNumber="1" containsInteger="1" minValue="4" maxValue="50"/>
    </cacheField>
    <cacheField name="sales_quantity" numFmtId="0">
      <sharedItems containsString="0" containsBlank="1" containsNumber="1" containsInteger="1" minValue="3" maxValue="55"/>
    </cacheField>
    <cacheField name="purchase_date" numFmtId="14">
      <sharedItems containsDate="1" containsBlank="1" containsMixedTypes="1" minDate="2026-10-03T00:00:00" maxDate="2026-12-04T00:00:00"/>
    </cacheField>
    <cacheField name="supplier" numFmtId="0">
      <sharedItems containsBlank="1"/>
    </cacheField>
    <cacheField name="price" numFmtId="0">
      <sharedItems containsString="0" containsBlank="1" containsNumber="1" containsInteger="1" minValue="10" maxValue="1550"/>
    </cacheField>
    <cacheField name="total_revenue" numFmtId="0">
      <sharedItems containsString="0" containsBlank="1" containsNumber="1" containsInteger="1" minValue="175" maxValue="6400"/>
    </cacheField>
    <cacheField name="inventory_value" numFmtId="0">
      <sharedItems containsString="0" containsBlank="1" containsNumber="1" containsInteger="1" minValue="600" maxValue="186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n v="1"/>
    <s v="9W Bulb"/>
    <x v="0"/>
    <n v="50"/>
    <n v="30"/>
    <n v="10"/>
    <d v="2026-10-03T00:00:00"/>
    <s v="Chamunda Ele"/>
    <n v="80"/>
    <n v="800"/>
    <n v="4000"/>
  </r>
  <r>
    <n v="2"/>
    <s v="20W Tubelight"/>
    <x v="0"/>
    <n v="80"/>
    <n v="20"/>
    <n v="20"/>
    <d v="2026-12-03T00:00:00"/>
    <s v="Chamunda Ele"/>
    <n v="150"/>
    <n v="3000"/>
    <n v="12000"/>
  </r>
  <r>
    <n v="3"/>
    <s v="6A Switch"/>
    <x v="0"/>
    <n v="85"/>
    <n v="30"/>
    <n v="55"/>
    <s v="25-2-2026"/>
    <s v="Chamunda Ele"/>
    <n v="30"/>
    <n v="1650"/>
    <n v="2550"/>
  </r>
  <r>
    <n v="4"/>
    <s v="10A Socket"/>
    <x v="0"/>
    <n v="35"/>
    <n v="25"/>
    <n v="20"/>
    <s v="25-3-2026"/>
    <s v="Shiva Shakti Ele"/>
    <n v="80"/>
    <n v="1600"/>
    <n v="2800"/>
  </r>
  <r>
    <n v="5"/>
    <s v="1&quot; Coupler"/>
    <x v="1"/>
    <n v="20"/>
    <n v="30"/>
    <n v="10"/>
    <d v="2026-11-01T00:00:00"/>
    <s v="Mahadeva Traders"/>
    <n v="30"/>
    <n v="300"/>
    <n v="600"/>
  </r>
  <r>
    <n v="6"/>
    <s v="3/4&quot; Coupler"/>
    <x v="1"/>
    <n v="50"/>
    <n v="40"/>
    <n v="20"/>
    <d v="2026-11-01T00:00:00"/>
    <s v="Mahadeva Traders"/>
    <n v="20"/>
    <n v="400"/>
    <n v="1000"/>
  </r>
  <r>
    <n v="7"/>
    <s v="1&quot; Elbow"/>
    <x v="1"/>
    <n v="35"/>
    <n v="50"/>
    <n v="5"/>
    <s v="13-2-2026"/>
    <s v="Mahadeva Traders"/>
    <n v="35"/>
    <n v="175"/>
    <n v="1225"/>
  </r>
  <r>
    <n v="8"/>
    <s v="3/4&quot; Elbow"/>
    <x v="1"/>
    <n v="55"/>
    <n v="40"/>
    <n v="25"/>
    <s v="13-2-2026"/>
    <s v="Shiva Shakti Ele"/>
    <n v="20"/>
    <n v="500"/>
    <n v="1100"/>
  </r>
  <r>
    <n v="9"/>
    <s v="20A MCB"/>
    <x v="0"/>
    <n v="60"/>
    <n v="40"/>
    <n v="20"/>
    <s v="15-4-2026"/>
    <s v="Shiva Shakti Ele"/>
    <n v="150"/>
    <n v="3000"/>
    <n v="9000"/>
  </r>
  <r>
    <n v="10"/>
    <s v="Fan Regulator"/>
    <x v="0"/>
    <n v="20"/>
    <n v="20"/>
    <n v="15"/>
    <s v="16-4-2026"/>
    <s v="Chamunda Ele"/>
    <n v="350"/>
    <n v="5250"/>
    <n v="7000"/>
  </r>
  <r>
    <n v="11"/>
    <s v="Extension Box"/>
    <x v="0"/>
    <n v="10"/>
    <n v="5"/>
    <n v="8"/>
    <s v="30-12-2025"/>
    <s v="Chamunda Ele"/>
    <n v="350"/>
    <n v="2800"/>
    <n v="3500"/>
  </r>
  <r>
    <n v="12"/>
    <s v="1&quot; Cpvc Pipe"/>
    <x v="1"/>
    <n v="30"/>
    <n v="40"/>
    <n v="20"/>
    <s v="25-12-2025"/>
    <s v="Mahalaxmi Traders"/>
    <n v="320"/>
    <n v="6400"/>
    <n v="9600"/>
  </r>
  <r>
    <n v="13"/>
    <s v="3/4&quot; Cpvc Pipe"/>
    <x v="1"/>
    <n v="20"/>
    <n v="30"/>
    <n v="5"/>
    <s v="25-12-2025"/>
    <s v="Mahalaxmi Traders"/>
    <n v="220"/>
    <n v="1100"/>
    <n v="4400"/>
  </r>
  <r>
    <n v="14"/>
    <s v="4&quot;SWR Pipe"/>
    <x v="1"/>
    <n v="30"/>
    <n v="30"/>
    <n v="10"/>
    <s v="21-4-2026"/>
    <s v="Mahadeva Traders"/>
    <n v="580"/>
    <n v="5800"/>
    <n v="17400"/>
  </r>
  <r>
    <n v="15"/>
    <s v="21/2&quot; SWR Pipe"/>
    <x v="1"/>
    <n v="45"/>
    <n v="35"/>
    <n v="18"/>
    <s v="21-4-2026"/>
    <s v="Mahadeva Traders"/>
    <n v="350"/>
    <n v="6300"/>
    <n v="15750"/>
  </r>
  <r>
    <n v="16"/>
    <s v="3Pin Plug"/>
    <x v="0"/>
    <n v="20"/>
    <n v="15"/>
    <n v="8"/>
    <d v="2026-12-03T00:00:00"/>
    <s v="Chamunda Ele"/>
    <n v="35"/>
    <n v="280"/>
    <n v="700"/>
  </r>
  <r>
    <n v="17"/>
    <s v="Water Heater"/>
    <x v="0"/>
    <n v="10"/>
    <n v="5"/>
    <n v="3"/>
    <s v="14-3-2026"/>
    <s v="Shiva Shakti Ele"/>
    <n v="420"/>
    <n v="1260"/>
    <n v="4200"/>
  </r>
  <r>
    <n v="18"/>
    <s v="Tap"/>
    <x v="1"/>
    <n v="25"/>
    <n v="20"/>
    <n v="10"/>
    <d v="2026-11-01T00:00:00"/>
    <s v="Mahadeva Traders"/>
    <n v="89"/>
    <n v="890"/>
    <n v="2225"/>
  </r>
  <r>
    <n v="19"/>
    <s v="Tape"/>
    <x v="0"/>
    <n v="100"/>
    <n v="40"/>
    <n v="50"/>
    <d v="2026-12-02T00:00:00"/>
    <s v="Chamunda Ele"/>
    <n v="10"/>
    <n v="500"/>
    <n v="1000"/>
  </r>
  <r>
    <n v="20"/>
    <s v="Fan"/>
    <x v="0"/>
    <n v="12"/>
    <n v="4"/>
    <n v="4"/>
    <s v="19-12-2025"/>
    <s v="Shiva Shakti Ele"/>
    <n v="1550"/>
    <n v="6200"/>
    <n v="18600"/>
  </r>
  <r>
    <m/>
    <m/>
    <x v="2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FD6295-B5C8-4E43-927B-44F6D788F99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1">
    <pivotField showAll="0"/>
    <pivotField showAll="0"/>
    <pivotField axis="axisRow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pric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857F8-0C4A-4A78-882E-10CE3B6FDAFF}">
  <dimension ref="A1:L21"/>
  <sheetViews>
    <sheetView tabSelected="1" topLeftCell="A4" workbookViewId="0">
      <selection activeCell="N7" sqref="N7"/>
    </sheetView>
  </sheetViews>
  <sheetFormatPr defaultRowHeight="15" x14ac:dyDescent="0.25"/>
  <cols>
    <col min="1" max="1" width="5.28515625" bestFit="1" customWidth="1"/>
    <col min="2" max="2" width="14.7109375" bestFit="1" customWidth="1"/>
    <col min="3" max="3" width="9.42578125" bestFit="1" customWidth="1"/>
    <col min="4" max="4" width="14.140625" bestFit="1" customWidth="1"/>
    <col min="5" max="5" width="13.28515625" bestFit="1" customWidth="1"/>
    <col min="6" max="6" width="14" bestFit="1" customWidth="1"/>
    <col min="7" max="7" width="14.140625" style="2" bestFit="1" customWidth="1"/>
    <col min="8" max="8" width="18" bestFit="1" customWidth="1"/>
    <col min="9" max="9" width="5.42578125" bestFit="1" customWidth="1"/>
    <col min="10" max="10" width="13.7109375" bestFit="1" customWidth="1"/>
    <col min="11" max="11" width="15.5703125" bestFit="1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35</v>
      </c>
      <c r="K1" s="1" t="s">
        <v>36</v>
      </c>
      <c r="L1" s="1" t="s">
        <v>40</v>
      </c>
    </row>
    <row r="2" spans="1:12" x14ac:dyDescent="0.25">
      <c r="A2">
        <v>1</v>
      </c>
      <c r="B2" t="s">
        <v>9</v>
      </c>
      <c r="C2" t="s">
        <v>29</v>
      </c>
      <c r="D2">
        <v>50</v>
      </c>
      <c r="E2">
        <v>30</v>
      </c>
      <c r="F2">
        <v>10</v>
      </c>
      <c r="G2" s="2">
        <v>46091</v>
      </c>
      <c r="H2" t="s">
        <v>31</v>
      </c>
      <c r="I2">
        <v>80</v>
      </c>
      <c r="J2">
        <f>F2*I2</f>
        <v>800</v>
      </c>
      <c r="K2">
        <f>D2*I2</f>
        <v>4000</v>
      </c>
      <c r="L2">
        <f>MONTH(G2)</f>
        <v>3</v>
      </c>
    </row>
    <row r="3" spans="1:12" x14ac:dyDescent="0.25">
      <c r="A3">
        <v>2</v>
      </c>
      <c r="B3" t="s">
        <v>10</v>
      </c>
      <c r="C3" t="s">
        <v>29</v>
      </c>
      <c r="D3">
        <v>80</v>
      </c>
      <c r="E3">
        <v>20</v>
      </c>
      <c r="F3">
        <v>20</v>
      </c>
      <c r="G3" s="2">
        <v>46093</v>
      </c>
      <c r="H3" t="s">
        <v>31</v>
      </c>
      <c r="I3">
        <v>150</v>
      </c>
      <c r="J3">
        <f t="shared" ref="J3:J21" si="0">F3*I3</f>
        <v>3000</v>
      </c>
      <c r="K3">
        <f t="shared" ref="K3:K21" si="1">D3*I3</f>
        <v>12000</v>
      </c>
      <c r="L3">
        <f t="shared" ref="L3:L21" si="2">MONTH(G3)</f>
        <v>3</v>
      </c>
    </row>
    <row r="4" spans="1:12" x14ac:dyDescent="0.25">
      <c r="A4">
        <v>3</v>
      </c>
      <c r="B4" t="s">
        <v>11</v>
      </c>
      <c r="C4" t="s">
        <v>29</v>
      </c>
      <c r="D4">
        <v>85</v>
      </c>
      <c r="E4">
        <v>30</v>
      </c>
      <c r="F4">
        <v>55</v>
      </c>
      <c r="G4" s="2">
        <v>46078</v>
      </c>
      <c r="H4" t="s">
        <v>31</v>
      </c>
      <c r="I4">
        <v>30</v>
      </c>
      <c r="J4">
        <f t="shared" si="0"/>
        <v>1650</v>
      </c>
      <c r="K4">
        <f t="shared" si="1"/>
        <v>2550</v>
      </c>
      <c r="L4">
        <f t="shared" si="2"/>
        <v>2</v>
      </c>
    </row>
    <row r="5" spans="1:12" x14ac:dyDescent="0.25">
      <c r="A5">
        <v>4</v>
      </c>
      <c r="B5" t="s">
        <v>12</v>
      </c>
      <c r="C5" t="s">
        <v>29</v>
      </c>
      <c r="D5">
        <v>35</v>
      </c>
      <c r="E5">
        <v>25</v>
      </c>
      <c r="F5">
        <v>20</v>
      </c>
      <c r="G5" s="2">
        <v>46106</v>
      </c>
      <c r="H5" t="s">
        <v>32</v>
      </c>
      <c r="I5">
        <v>80</v>
      </c>
      <c r="J5">
        <f t="shared" si="0"/>
        <v>1600</v>
      </c>
      <c r="K5">
        <f t="shared" si="1"/>
        <v>2800</v>
      </c>
      <c r="L5">
        <f t="shared" si="2"/>
        <v>3</v>
      </c>
    </row>
    <row r="6" spans="1:12" x14ac:dyDescent="0.25">
      <c r="A6">
        <v>5</v>
      </c>
      <c r="B6" t="s">
        <v>13</v>
      </c>
      <c r="C6" t="s">
        <v>30</v>
      </c>
      <c r="D6">
        <v>20</v>
      </c>
      <c r="E6">
        <v>30</v>
      </c>
      <c r="F6">
        <v>10</v>
      </c>
      <c r="G6" s="2">
        <v>46033</v>
      </c>
      <c r="H6" t="s">
        <v>33</v>
      </c>
      <c r="I6">
        <v>30</v>
      </c>
      <c r="J6">
        <f t="shared" si="0"/>
        <v>300</v>
      </c>
      <c r="K6">
        <f t="shared" si="1"/>
        <v>600</v>
      </c>
      <c r="L6">
        <f t="shared" si="2"/>
        <v>1</v>
      </c>
    </row>
    <row r="7" spans="1:12" x14ac:dyDescent="0.25">
      <c r="A7">
        <v>6</v>
      </c>
      <c r="B7" t="s">
        <v>14</v>
      </c>
      <c r="C7" t="s">
        <v>30</v>
      </c>
      <c r="D7">
        <v>50</v>
      </c>
      <c r="E7">
        <v>40</v>
      </c>
      <c r="F7">
        <v>20</v>
      </c>
      <c r="G7" s="2">
        <v>46033</v>
      </c>
      <c r="H7" t="s">
        <v>33</v>
      </c>
      <c r="I7">
        <v>20</v>
      </c>
      <c r="J7">
        <f t="shared" si="0"/>
        <v>400</v>
      </c>
      <c r="K7">
        <f t="shared" si="1"/>
        <v>1000</v>
      </c>
      <c r="L7">
        <f t="shared" si="2"/>
        <v>1</v>
      </c>
    </row>
    <row r="8" spans="1:12" x14ac:dyDescent="0.25">
      <c r="A8">
        <v>7</v>
      </c>
      <c r="B8" t="s">
        <v>15</v>
      </c>
      <c r="C8" t="s">
        <v>30</v>
      </c>
      <c r="D8">
        <v>35</v>
      </c>
      <c r="E8">
        <v>50</v>
      </c>
      <c r="F8">
        <v>5</v>
      </c>
      <c r="G8" s="2">
        <v>46066</v>
      </c>
      <c r="H8" t="s">
        <v>33</v>
      </c>
      <c r="I8">
        <v>35</v>
      </c>
      <c r="J8">
        <f t="shared" si="0"/>
        <v>175</v>
      </c>
      <c r="K8">
        <f t="shared" si="1"/>
        <v>1225</v>
      </c>
      <c r="L8">
        <f t="shared" si="2"/>
        <v>2</v>
      </c>
    </row>
    <row r="9" spans="1:12" x14ac:dyDescent="0.25">
      <c r="A9">
        <v>8</v>
      </c>
      <c r="B9" t="s">
        <v>16</v>
      </c>
      <c r="C9" t="s">
        <v>30</v>
      </c>
      <c r="D9">
        <v>55</v>
      </c>
      <c r="E9">
        <v>40</v>
      </c>
      <c r="F9">
        <v>25</v>
      </c>
      <c r="G9" s="2">
        <v>46066</v>
      </c>
      <c r="H9" t="s">
        <v>32</v>
      </c>
      <c r="I9">
        <v>20</v>
      </c>
      <c r="J9">
        <f t="shared" si="0"/>
        <v>500</v>
      </c>
      <c r="K9">
        <f t="shared" si="1"/>
        <v>1100</v>
      </c>
      <c r="L9">
        <f t="shared" si="2"/>
        <v>2</v>
      </c>
    </row>
    <row r="10" spans="1:12" x14ac:dyDescent="0.25">
      <c r="A10">
        <v>9</v>
      </c>
      <c r="B10" t="s">
        <v>17</v>
      </c>
      <c r="C10" t="s">
        <v>29</v>
      </c>
      <c r="D10">
        <v>60</v>
      </c>
      <c r="E10">
        <v>40</v>
      </c>
      <c r="F10">
        <v>20</v>
      </c>
      <c r="G10" s="2">
        <v>46127</v>
      </c>
      <c r="H10" t="s">
        <v>32</v>
      </c>
      <c r="I10">
        <v>150</v>
      </c>
      <c r="J10">
        <f t="shared" si="0"/>
        <v>3000</v>
      </c>
      <c r="K10">
        <f t="shared" si="1"/>
        <v>9000</v>
      </c>
      <c r="L10">
        <f t="shared" si="2"/>
        <v>4</v>
      </c>
    </row>
    <row r="11" spans="1:12" x14ac:dyDescent="0.25">
      <c r="A11">
        <v>10</v>
      </c>
      <c r="B11" t="s">
        <v>18</v>
      </c>
      <c r="C11" t="s">
        <v>29</v>
      </c>
      <c r="D11">
        <v>20</v>
      </c>
      <c r="E11">
        <v>20</v>
      </c>
      <c r="F11">
        <v>15</v>
      </c>
      <c r="G11" s="2">
        <v>46128</v>
      </c>
      <c r="H11" t="s">
        <v>31</v>
      </c>
      <c r="I11">
        <v>350</v>
      </c>
      <c r="J11">
        <f t="shared" si="0"/>
        <v>5250</v>
      </c>
      <c r="K11">
        <f t="shared" si="1"/>
        <v>7000</v>
      </c>
      <c r="L11">
        <f t="shared" si="2"/>
        <v>4</v>
      </c>
    </row>
    <row r="12" spans="1:12" x14ac:dyDescent="0.25">
      <c r="A12">
        <v>11</v>
      </c>
      <c r="B12" t="s">
        <v>19</v>
      </c>
      <c r="C12" t="s">
        <v>29</v>
      </c>
      <c r="D12">
        <v>10</v>
      </c>
      <c r="E12">
        <v>5</v>
      </c>
      <c r="F12">
        <v>8</v>
      </c>
      <c r="G12" s="2">
        <v>46021</v>
      </c>
      <c r="H12" t="s">
        <v>31</v>
      </c>
      <c r="I12">
        <v>350</v>
      </c>
      <c r="J12">
        <f t="shared" si="0"/>
        <v>2800</v>
      </c>
      <c r="K12">
        <f t="shared" si="1"/>
        <v>3500</v>
      </c>
      <c r="L12">
        <f t="shared" si="2"/>
        <v>12</v>
      </c>
    </row>
    <row r="13" spans="1:12" x14ac:dyDescent="0.25">
      <c r="A13">
        <v>12</v>
      </c>
      <c r="B13" t="s">
        <v>20</v>
      </c>
      <c r="C13" t="s">
        <v>30</v>
      </c>
      <c r="D13">
        <v>30</v>
      </c>
      <c r="E13">
        <v>40</v>
      </c>
      <c r="F13">
        <v>20</v>
      </c>
      <c r="G13" s="2">
        <v>46016</v>
      </c>
      <c r="H13" t="s">
        <v>34</v>
      </c>
      <c r="I13">
        <v>320</v>
      </c>
      <c r="J13">
        <f t="shared" si="0"/>
        <v>6400</v>
      </c>
      <c r="K13">
        <f t="shared" si="1"/>
        <v>9600</v>
      </c>
      <c r="L13">
        <f t="shared" si="2"/>
        <v>12</v>
      </c>
    </row>
    <row r="14" spans="1:12" x14ac:dyDescent="0.25">
      <c r="A14">
        <v>13</v>
      </c>
      <c r="B14" t="s">
        <v>21</v>
      </c>
      <c r="C14" t="s">
        <v>30</v>
      </c>
      <c r="D14">
        <v>20</v>
      </c>
      <c r="E14">
        <v>30</v>
      </c>
      <c r="F14">
        <v>5</v>
      </c>
      <c r="G14" s="2">
        <v>46016</v>
      </c>
      <c r="H14" t="s">
        <v>34</v>
      </c>
      <c r="I14">
        <v>220</v>
      </c>
      <c r="J14">
        <f t="shared" si="0"/>
        <v>1100</v>
      </c>
      <c r="K14">
        <f t="shared" si="1"/>
        <v>4400</v>
      </c>
      <c r="L14">
        <f t="shared" si="2"/>
        <v>12</v>
      </c>
    </row>
    <row r="15" spans="1:12" x14ac:dyDescent="0.25">
      <c r="A15">
        <v>14</v>
      </c>
      <c r="B15" t="s">
        <v>22</v>
      </c>
      <c r="C15" t="s">
        <v>30</v>
      </c>
      <c r="D15">
        <v>30</v>
      </c>
      <c r="E15">
        <v>30</v>
      </c>
      <c r="F15">
        <v>10</v>
      </c>
      <c r="G15" s="2">
        <v>46133</v>
      </c>
      <c r="H15" t="s">
        <v>33</v>
      </c>
      <c r="I15">
        <v>580</v>
      </c>
      <c r="J15">
        <f t="shared" si="0"/>
        <v>5800</v>
      </c>
      <c r="K15">
        <f t="shared" si="1"/>
        <v>17400</v>
      </c>
      <c r="L15">
        <f t="shared" si="2"/>
        <v>4</v>
      </c>
    </row>
    <row r="16" spans="1:12" x14ac:dyDescent="0.25">
      <c r="A16">
        <v>15</v>
      </c>
      <c r="B16" t="s">
        <v>23</v>
      </c>
      <c r="C16" t="s">
        <v>30</v>
      </c>
      <c r="D16">
        <v>45</v>
      </c>
      <c r="E16">
        <v>35</v>
      </c>
      <c r="F16">
        <v>18</v>
      </c>
      <c r="G16" s="2">
        <v>46133</v>
      </c>
      <c r="H16" t="s">
        <v>33</v>
      </c>
      <c r="I16">
        <v>350</v>
      </c>
      <c r="J16">
        <f t="shared" si="0"/>
        <v>6300</v>
      </c>
      <c r="K16">
        <f t="shared" si="1"/>
        <v>15750</v>
      </c>
      <c r="L16">
        <f t="shared" si="2"/>
        <v>4</v>
      </c>
    </row>
    <row r="17" spans="1:12" x14ac:dyDescent="0.25">
      <c r="A17">
        <v>16</v>
      </c>
      <c r="B17" t="s">
        <v>24</v>
      </c>
      <c r="C17" t="s">
        <v>29</v>
      </c>
      <c r="D17">
        <v>20</v>
      </c>
      <c r="E17">
        <v>15</v>
      </c>
      <c r="F17">
        <v>8</v>
      </c>
      <c r="G17" s="2">
        <v>46093</v>
      </c>
      <c r="H17" t="s">
        <v>31</v>
      </c>
      <c r="I17">
        <v>35</v>
      </c>
      <c r="J17">
        <f t="shared" si="0"/>
        <v>280</v>
      </c>
      <c r="K17">
        <f t="shared" si="1"/>
        <v>700</v>
      </c>
      <c r="L17">
        <f t="shared" si="2"/>
        <v>3</v>
      </c>
    </row>
    <row r="18" spans="1:12" x14ac:dyDescent="0.25">
      <c r="A18">
        <v>17</v>
      </c>
      <c r="B18" t="s">
        <v>25</v>
      </c>
      <c r="C18" t="s">
        <v>29</v>
      </c>
      <c r="D18">
        <v>10</v>
      </c>
      <c r="E18">
        <v>5</v>
      </c>
      <c r="F18">
        <v>3</v>
      </c>
      <c r="G18" s="2">
        <v>46095</v>
      </c>
      <c r="H18" t="s">
        <v>32</v>
      </c>
      <c r="I18">
        <v>420</v>
      </c>
      <c r="J18">
        <f t="shared" si="0"/>
        <v>1260</v>
      </c>
      <c r="K18">
        <f t="shared" si="1"/>
        <v>4200</v>
      </c>
      <c r="L18">
        <f t="shared" si="2"/>
        <v>3</v>
      </c>
    </row>
    <row r="19" spans="1:12" x14ac:dyDescent="0.25">
      <c r="A19">
        <v>18</v>
      </c>
      <c r="B19" t="s">
        <v>26</v>
      </c>
      <c r="C19" t="s">
        <v>30</v>
      </c>
      <c r="D19">
        <v>25</v>
      </c>
      <c r="E19">
        <v>20</v>
      </c>
      <c r="F19">
        <v>10</v>
      </c>
      <c r="G19" s="2">
        <v>46033</v>
      </c>
      <c r="H19" t="s">
        <v>33</v>
      </c>
      <c r="I19">
        <v>89</v>
      </c>
      <c r="J19">
        <f t="shared" si="0"/>
        <v>890</v>
      </c>
      <c r="K19">
        <f t="shared" si="1"/>
        <v>2225</v>
      </c>
      <c r="L19">
        <f t="shared" si="2"/>
        <v>1</v>
      </c>
    </row>
    <row r="20" spans="1:12" x14ac:dyDescent="0.25">
      <c r="A20">
        <v>19</v>
      </c>
      <c r="B20" t="s">
        <v>27</v>
      </c>
      <c r="C20" t="s">
        <v>29</v>
      </c>
      <c r="D20">
        <v>100</v>
      </c>
      <c r="E20">
        <v>40</v>
      </c>
      <c r="F20">
        <v>50</v>
      </c>
      <c r="G20" s="2">
        <v>46065</v>
      </c>
      <c r="H20" t="s">
        <v>31</v>
      </c>
      <c r="I20">
        <v>10</v>
      </c>
      <c r="J20">
        <f t="shared" si="0"/>
        <v>500</v>
      </c>
      <c r="K20">
        <f t="shared" si="1"/>
        <v>1000</v>
      </c>
      <c r="L20">
        <f t="shared" si="2"/>
        <v>2</v>
      </c>
    </row>
    <row r="21" spans="1:12" x14ac:dyDescent="0.25">
      <c r="A21">
        <v>20</v>
      </c>
      <c r="B21" t="s">
        <v>28</v>
      </c>
      <c r="C21" t="s">
        <v>29</v>
      </c>
      <c r="D21">
        <v>12</v>
      </c>
      <c r="E21">
        <v>4</v>
      </c>
      <c r="F21">
        <v>4</v>
      </c>
      <c r="G21" s="2">
        <v>46010</v>
      </c>
      <c r="H21" t="s">
        <v>32</v>
      </c>
      <c r="I21">
        <v>1550</v>
      </c>
      <c r="J21">
        <f t="shared" si="0"/>
        <v>6200</v>
      </c>
      <c r="K21">
        <f t="shared" si="1"/>
        <v>18600</v>
      </c>
      <c r="L21">
        <f t="shared" si="2"/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8A23F-E626-48C9-930E-5EB4E5EA0EAF}">
  <dimension ref="A3:B6"/>
  <sheetViews>
    <sheetView workbookViewId="0">
      <selection activeCell="G3" sqref="G3"/>
    </sheetView>
  </sheetViews>
  <sheetFormatPr defaultRowHeight="15" x14ac:dyDescent="0.25"/>
  <cols>
    <col min="1" max="1" width="13.140625" bestFit="1" customWidth="1"/>
    <col min="2" max="2" width="12" bestFit="1" customWidth="1"/>
  </cols>
  <sheetData>
    <row r="3" spans="1:2" x14ac:dyDescent="0.25">
      <c r="A3" s="4" t="s">
        <v>37</v>
      </c>
      <c r="B3" t="s">
        <v>39</v>
      </c>
    </row>
    <row r="4" spans="1:2" x14ac:dyDescent="0.25">
      <c r="A4" s="5" t="s">
        <v>29</v>
      </c>
      <c r="B4">
        <v>3205</v>
      </c>
    </row>
    <row r="5" spans="1:2" x14ac:dyDescent="0.25">
      <c r="A5" s="5" t="s">
        <v>30</v>
      </c>
      <c r="B5">
        <v>1664</v>
      </c>
    </row>
    <row r="6" spans="1:2" x14ac:dyDescent="0.25">
      <c r="A6" s="5" t="s">
        <v>38</v>
      </c>
      <c r="B6">
        <v>4869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Inventory_sales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</dc:creator>
  <cp:lastModifiedBy>nc</cp:lastModifiedBy>
  <dcterms:created xsi:type="dcterms:W3CDTF">2026-04-28T13:55:14Z</dcterms:created>
  <dcterms:modified xsi:type="dcterms:W3CDTF">2026-04-29T09:11:06Z</dcterms:modified>
</cp:coreProperties>
</file>